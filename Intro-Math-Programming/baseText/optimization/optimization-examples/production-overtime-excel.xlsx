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840125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84012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Production Planning with Overtime (10 periods)</t>
        </is>
      </c>
    </row>
    <row r="3">
      <c r="A3" s="2" t="inlineStr">
        <is>
          <t>Day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</row>
    <row r="4">
      <c r="A4" s="2" t="inlineStr">
        <is>
          <t>Regular cost ($/unit)</t>
        </is>
      </c>
      <c r="B4" s="4" t="n">
        <v>10</v>
      </c>
      <c r="C4" s="4" t="n">
        <v>12</v>
      </c>
      <c r="D4" s="4" t="n">
        <v>14</v>
      </c>
      <c r="E4" s="4" t="n">
        <v>16</v>
      </c>
      <c r="F4" s="4" t="n">
        <v>18</v>
      </c>
      <c r="G4" s="4" t="n">
        <v>20</v>
      </c>
      <c r="H4" s="4" t="n">
        <v>22</v>
      </c>
      <c r="I4" s="4" t="n">
        <v>24</v>
      </c>
      <c r="J4" s="4" t="n">
        <v>26</v>
      </c>
      <c r="K4" s="4" t="n">
        <v>28</v>
      </c>
    </row>
    <row r="5">
      <c r="A5" s="2" t="inlineStr">
        <is>
          <t>Overtime cost ($/unit)</t>
        </is>
      </c>
      <c r="B5" s="4" t="n">
        <v>16</v>
      </c>
      <c r="C5" s="4" t="n">
        <v>18</v>
      </c>
      <c r="D5" s="4" t="n">
        <v>20</v>
      </c>
      <c r="E5" s="4" t="n">
        <v>22</v>
      </c>
      <c r="F5" s="4" t="n">
        <v>24</v>
      </c>
      <c r="G5" s="4" t="n">
        <v>26</v>
      </c>
      <c r="H5" s="4" t="n">
        <v>28</v>
      </c>
      <c r="I5" s="4" t="n">
        <v>30</v>
      </c>
      <c r="J5" s="4" t="n">
        <v>32</v>
      </c>
      <c r="K5" s="4" t="n">
        <v>34</v>
      </c>
    </row>
    <row r="6">
      <c r="A6" s="2" t="inlineStr">
        <is>
          <t>Demand</t>
        </is>
      </c>
      <c r="B6" s="4" t="n">
        <v>8</v>
      </c>
      <c r="C6" s="4" t="n">
        <v>6</v>
      </c>
      <c r="D6" s="4" t="n">
        <v>9</v>
      </c>
      <c r="E6" s="4" t="n">
        <v>7</v>
      </c>
      <c r="F6" s="4" t="n">
        <v>10</v>
      </c>
      <c r="G6" s="4" t="n">
        <v>5</v>
      </c>
      <c r="H6" s="4" t="n">
        <v>8</v>
      </c>
      <c r="I6" s="4" t="n">
        <v>6</v>
      </c>
      <c r="J6" s="4" t="n">
        <v>4</v>
      </c>
      <c r="K6" s="4" t="n">
        <v>7</v>
      </c>
    </row>
    <row r="8">
      <c r="A8" s="2" t="inlineStr">
        <is>
          <t>Regular production (change)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2" t="inlineStr">
        <is>
          <t>Overtime production (change)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2" t="inlineStr">
        <is>
          <t>End inventory s_t (change)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2">
      <c r="A12" s="2" t="inlineStr">
        <is>
          <t>Balance (must = 0)</t>
        </is>
      </c>
      <c r="B12" s="6">
        <f>0+B8+B9-B6-B10</f>
        <v/>
      </c>
      <c r="C12" s="6">
        <f>B10+C8+C9-C6-C10</f>
        <v/>
      </c>
      <c r="D12" s="6">
        <f>C10+D8+D9-D6-D10</f>
        <v/>
      </c>
      <c r="E12" s="6">
        <f>D10+E8+E9-E6-E10</f>
        <v/>
      </c>
      <c r="F12" s="6">
        <f>E10+F8+F9-F6-F10</f>
        <v/>
      </c>
      <c r="G12" s="6">
        <f>F10+G8+G9-G6-G10</f>
        <v/>
      </c>
      <c r="H12" s="6">
        <f>G10+H8+H9-H6-H10</f>
        <v/>
      </c>
      <c r="I12" s="6">
        <f>H10+I8+I9-I6-I10</f>
        <v/>
      </c>
      <c r="J12" s="6">
        <f>I10+J8+J9-J6-J10</f>
        <v/>
      </c>
      <c r="K12" s="6">
        <f>J10+K8+K9-K6-K10</f>
        <v/>
      </c>
    </row>
    <row r="14">
      <c r="A14" s="2" t="inlineStr">
        <is>
          <t>Total cost (minimize)</t>
        </is>
      </c>
      <c r="B14" s="7">
        <f>SUMPRODUCT(B4:K4,B8:K8)+SUMPRODUCT(B5:K5,B9:K9)+5*SUM(B10:K10)</f>
        <v/>
      </c>
    </row>
    <row r="16">
      <c r="A16" s="8" t="inlineStr">
        <is>
          <t>Solver: Min objective B14; changing the yellow cells; balance row B12:K12 = 0; yellow cells &gt;= 0. Initial inventory s0 =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2026-06-30T22:49:26Z</dcterms:created>
  <dcterms:modified xmlns:dcterms="http://purl.org/dc/terms/" xmlns:xsi="http://www.w3.org/2001/XMLSchema-instance" xsi:type="dcterms:W3CDTF">2026-06-30T22:49:26Z</dcterms:modified>
</cp:coreProperties>
</file>