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840125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8401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6" customWidth="1" min="4" max="4"/>
  </cols>
  <sheetData>
    <row r="1">
      <c r="A1" s="1" t="inlineStr">
        <is>
          <t>Airline Transfer Network — Maximum Flow (s to t)</t>
        </is>
      </c>
    </row>
    <row r="3">
      <c r="A3" s="2" t="inlineStr">
        <is>
          <t>Arc</t>
        </is>
      </c>
      <c r="B3" s="2" t="inlineStr">
        <is>
          <t>Capacity</t>
        </is>
      </c>
      <c r="C3" s="2" t="inlineStr">
        <is>
          <t>Flow (change)</t>
        </is>
      </c>
    </row>
    <row r="4">
      <c r="A4" t="inlineStr">
        <is>
          <t>s-&gt;a</t>
        </is>
      </c>
      <c r="B4" s="3" t="n">
        <v>4</v>
      </c>
      <c r="C4" s="4" t="n">
        <v>0</v>
      </c>
    </row>
    <row r="5">
      <c r="A5" t="inlineStr">
        <is>
          <t>s-&gt;b</t>
        </is>
      </c>
      <c r="B5" s="3" t="n">
        <v>2</v>
      </c>
      <c r="C5" s="4" t="n">
        <v>0</v>
      </c>
    </row>
    <row r="6">
      <c r="A6" t="inlineStr">
        <is>
          <t>s-&gt;c</t>
        </is>
      </c>
      <c r="B6" s="3" t="n">
        <v>8</v>
      </c>
      <c r="C6" s="4" t="n">
        <v>0</v>
      </c>
    </row>
    <row r="7">
      <c r="A7" t="inlineStr">
        <is>
          <t>a-&gt;c</t>
        </is>
      </c>
      <c r="B7" s="3" t="n">
        <v>5</v>
      </c>
      <c r="C7" s="4" t="n">
        <v>0</v>
      </c>
    </row>
    <row r="8">
      <c r="A8" t="inlineStr">
        <is>
          <t>a-&gt;d</t>
        </is>
      </c>
      <c r="B8" s="3" t="n">
        <v>2</v>
      </c>
      <c r="C8" s="4" t="n">
        <v>0</v>
      </c>
    </row>
    <row r="9">
      <c r="A9" t="inlineStr">
        <is>
          <t>b-&gt;c</t>
        </is>
      </c>
      <c r="B9" s="3" t="n">
        <v>6</v>
      </c>
      <c r="C9" s="4" t="n">
        <v>0</v>
      </c>
    </row>
    <row r="10">
      <c r="A10" t="inlineStr">
        <is>
          <t>b-&gt;e</t>
        </is>
      </c>
      <c r="B10" s="3" t="n">
        <v>9</v>
      </c>
      <c r="C10" s="4" t="n">
        <v>0</v>
      </c>
    </row>
    <row r="11">
      <c r="A11" t="inlineStr">
        <is>
          <t>c-&gt;d</t>
        </is>
      </c>
      <c r="B11" s="3" t="n">
        <v>1</v>
      </c>
      <c r="C11" s="4" t="n">
        <v>0</v>
      </c>
    </row>
    <row r="12">
      <c r="A12" t="inlineStr">
        <is>
          <t>c-&gt;e</t>
        </is>
      </c>
      <c r="B12" s="3" t="n">
        <v>3</v>
      </c>
      <c r="C12" s="4" t="n">
        <v>0</v>
      </c>
    </row>
    <row r="13">
      <c r="A13" t="inlineStr">
        <is>
          <t>c-&gt;t</t>
        </is>
      </c>
      <c r="B13" s="3" t="n">
        <v>4</v>
      </c>
      <c r="C13" s="4" t="n">
        <v>0</v>
      </c>
    </row>
    <row r="14">
      <c r="A14" t="inlineStr">
        <is>
          <t>d-&gt;e</t>
        </is>
      </c>
      <c r="B14" s="3" t="n">
        <v>7</v>
      </c>
      <c r="C14" s="4" t="n">
        <v>0</v>
      </c>
    </row>
    <row r="15">
      <c r="A15" t="inlineStr">
        <is>
          <t>e-&gt;t</t>
        </is>
      </c>
      <c r="B15" s="3" t="n">
        <v>5</v>
      </c>
      <c r="C15" s="4" t="n">
        <v>0</v>
      </c>
    </row>
    <row r="17">
      <c r="A17" s="5" t="inlineStr">
        <is>
          <t>Objective: total flow out of s (max)</t>
        </is>
      </c>
      <c r="B17" s="6">
        <f>C4+C5+C6</f>
        <v/>
      </c>
    </row>
    <row r="19">
      <c r="A19" s="5" t="inlineStr">
        <is>
          <t>Flow balance at each intermediate node (in - out = 0)</t>
        </is>
      </c>
    </row>
    <row r="20">
      <c r="A20" t="inlineStr">
        <is>
          <t>node a: in - out</t>
        </is>
      </c>
      <c r="B20">
        <f>C4-(C7+C8)</f>
        <v/>
      </c>
      <c r="C20" t="inlineStr">
        <is>
          <t>=</t>
        </is>
      </c>
      <c r="D20" t="n">
        <v>0</v>
      </c>
    </row>
    <row r="21">
      <c r="A21" t="inlineStr">
        <is>
          <t>node b: in - out</t>
        </is>
      </c>
      <c r="B21">
        <f>C5-(C9+C10)</f>
        <v/>
      </c>
      <c r="C21" t="inlineStr">
        <is>
          <t>=</t>
        </is>
      </c>
      <c r="D21" t="n">
        <v>0</v>
      </c>
    </row>
    <row r="22">
      <c r="A22" t="inlineStr">
        <is>
          <t>node c: in - out</t>
        </is>
      </c>
      <c r="B22">
        <f>C6+C7+C9-(C11+C12+C13)</f>
        <v/>
      </c>
      <c r="C22" t="inlineStr">
        <is>
          <t>=</t>
        </is>
      </c>
      <c r="D22" t="n">
        <v>0</v>
      </c>
    </row>
    <row r="23">
      <c r="A23" t="inlineStr">
        <is>
          <t>node d: in - out</t>
        </is>
      </c>
      <c r="B23">
        <f>C8+C11-(C14)</f>
        <v/>
      </c>
      <c r="C23" t="inlineStr">
        <is>
          <t>=</t>
        </is>
      </c>
      <c r="D23" t="n">
        <v>0</v>
      </c>
    </row>
    <row r="24">
      <c r="A24" t="inlineStr">
        <is>
          <t>node e: in - out</t>
        </is>
      </c>
      <c r="B24">
        <f>C10+C12+C14-(C15)</f>
        <v/>
      </c>
      <c r="C24" t="inlineStr">
        <is>
          <t>=</t>
        </is>
      </c>
      <c r="D24" t="n">
        <v>0</v>
      </c>
    </row>
    <row r="27">
      <c r="A27" s="7" t="inlineStr">
        <is>
          <t>Solver: Max B17; changing C4:C15; C4:C15&lt;=B4:B15; each balance cell = 0; C4:C15&gt;=0.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2026-07-01T20:26:47Z</dcterms:created>
  <dcterms:modified xmlns:dcterms="http://purl.org/dc/terms/" xmlns:xsi="http://www.w3.org/2001/XMLSchema-instance" xsi:type="dcterms:W3CDTF">2026-07-01T20:26:47Z</dcterms:modified>
</cp:coreProperties>
</file>